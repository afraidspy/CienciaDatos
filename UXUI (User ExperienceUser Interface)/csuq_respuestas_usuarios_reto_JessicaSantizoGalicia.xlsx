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uq_formato_igual_excel.csv" sheetId="1" r:id="rId5"/>
  </sheets>
  <definedNames/>
  <calcPr/>
</workbook>
</file>

<file path=xl/sharedStrings.xml><?xml version="1.0" encoding="utf-8"?>
<sst xmlns="http://schemas.openxmlformats.org/spreadsheetml/2006/main" count="44" uniqueCount="42">
  <si>
    <t>RESPUESTAS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</si>
  <si>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</si>
  <si>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</si>
  <si>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</si>
  <si>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</si>
  <si>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</si>
  <si>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</si>
  <si>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</si>
  <si>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</si>
  <si>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</si>
  <si>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</si>
  <si>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Pregunta 11</t>
  </si>
  <si>
    <t>Pregunta 12</t>
  </si>
  <si>
    <t>Pregunta 13</t>
  </si>
  <si>
    <t>Pregunta 14</t>
  </si>
  <si>
    <t>Pregunta 15</t>
  </si>
  <si>
    <t>Pregunta 16</t>
  </si>
  <si>
    <t>Pregunta 17</t>
  </si>
  <si>
    <t>Pregunta 18</t>
  </si>
  <si>
    <t>Pregunta 19</t>
  </si>
  <si>
    <t>Usuario 1</t>
  </si>
  <si>
    <t>Usuario 2</t>
  </si>
  <si>
    <t>Usuario 3</t>
  </si>
  <si>
    <t>Promedio</t>
  </si>
  <si>
    <t>Desviación estándar</t>
  </si>
  <si>
    <t>Calidad de Uso (1-8)</t>
  </si>
  <si>
    <t>Calidad de los mensajes (9-15)</t>
  </si>
  <si>
    <t>Calidad de la IU (16-18)</t>
  </si>
  <si>
    <t>General</t>
  </si>
  <si>
    <t>Alto (Promedio + DE)</t>
  </si>
  <si>
    <t>Bajo (Promedio - DE)</t>
  </si>
  <si>
    <t>Escala de 1-7</t>
  </si>
  <si>
    <t>Valor medio es 4 cualquier cosa entre 4 y 5 esta bien, siempre y cuando la desviación estándar no me lleve por debaj de 4</t>
  </si>
  <si>
    <t>Valor entre 5 y 6 pues estamos muy bien</t>
  </si>
  <si>
    <t>Mejor imposible entre 6 y 7</t>
  </si>
  <si>
    <t>X</t>
  </si>
  <si>
    <t>Dimension</t>
  </si>
  <si>
    <t>Alto</t>
  </si>
  <si>
    <t>Bajo</t>
  </si>
  <si>
    <t>Uso</t>
  </si>
  <si>
    <t>Mensajes</t>
  </si>
  <si>
    <t>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</si>
</sst>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Border="1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Alto, Bajo and Promedio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csuq_formato_igual_excel.csv!$C$23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csuq_formato_igual_excel.csv!$A$24:$A$27</c:f>
            </c:numRef>
          </c:xVal>
          <c:yVal>
            <c:numRef>
              <c:f>csuq_formato_igual_excel.csv!$C$24:$C$27</c:f>
              <c:numCache/>
            </c:numRef>
          </c:yVal>
        </c:ser>
        <c:ser>
          <c:idx val="1"/>
          <c:order val="1"/>
          <c:tx>
            <c:strRef>
              <c:f>csuq_formato_igual_excel.csv!$D$23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csuq_formato_igual_excel.csv!$A$24:$A$27</c:f>
            </c:numRef>
          </c:xVal>
          <c:yVal>
            <c:numRef>
              <c:f>csuq_formato_igual_excel.csv!$D$24:$D$27</c:f>
              <c:numCache/>
            </c:numRef>
          </c:yVal>
        </c:ser>
        <c:ser>
          <c:idx val="2"/>
          <c:order val="2"/>
          <c:tx>
            <c:strRef>
              <c:f>csuq_formato_igual_excel.csv!$E$23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csuq_formato_igual_excel.csv!$A$24:$A$27</c:f>
            </c:numRef>
          </c:xVal>
          <c:yVal>
            <c:numRef>
              <c:f>csuq_formato_igual_excel.csv!$E$24:$E$27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3290"/>
        <c:axId val="1244003959"/>
      </c:scatterChart>
      <c:valAx>
        <c:axId val="120332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003959"/>
      </c:valAx>
      <c:valAx>
        <c:axId val="1244003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3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8</xdr:row>
      <xdr:rowOff>190500</xdr:rowOff>
    </xdr:from>
    <xdr:ext cx="7010400" cy="4333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8.5"/>
    <col customWidth="1" min="3" max="3" width="26.38"/>
    <col customWidth="1" min="4" max="4" width="19.38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5" t="s">
        <v>16</v>
      </c>
      <c r="R3" s="5" t="s">
        <v>17</v>
      </c>
      <c r="S3" s="5" t="s">
        <v>18</v>
      </c>
      <c r="T3" s="5" t="s">
        <v>19</v>
      </c>
    </row>
    <row r="4">
      <c r="A4" s="6" t="s">
        <v>20</v>
      </c>
      <c r="B4" s="7">
        <v>6.0</v>
      </c>
      <c r="C4" s="7">
        <v>5.0</v>
      </c>
      <c r="D4" s="7">
        <v>7.0</v>
      </c>
      <c r="E4" s="7">
        <v>5.0</v>
      </c>
      <c r="F4" s="7">
        <v>6.0</v>
      </c>
      <c r="G4" s="7">
        <v>5.0</v>
      </c>
      <c r="H4" s="7">
        <v>6.0</v>
      </c>
      <c r="I4" s="7">
        <v>4.0</v>
      </c>
      <c r="J4" s="8">
        <v>7.0</v>
      </c>
      <c r="K4" s="8">
        <v>5.0</v>
      </c>
      <c r="L4" s="8">
        <v>5.0</v>
      </c>
      <c r="M4" s="8">
        <v>7.0</v>
      </c>
      <c r="N4" s="8">
        <v>6.0</v>
      </c>
      <c r="O4" s="8">
        <v>7.0</v>
      </c>
      <c r="P4" s="8">
        <v>6.0</v>
      </c>
      <c r="Q4" s="9">
        <v>5.0</v>
      </c>
      <c r="R4" s="9">
        <v>4.0</v>
      </c>
      <c r="S4" s="9">
        <v>6.0</v>
      </c>
      <c r="T4" s="9">
        <v>6.0</v>
      </c>
    </row>
    <row r="5">
      <c r="A5" s="6" t="s">
        <v>21</v>
      </c>
      <c r="B5" s="7">
        <v>6.0</v>
      </c>
      <c r="C5" s="7">
        <v>5.0</v>
      </c>
      <c r="D5" s="7">
        <v>7.0</v>
      </c>
      <c r="E5" s="7">
        <v>6.0</v>
      </c>
      <c r="F5" s="7">
        <v>5.0</v>
      </c>
      <c r="G5" s="7">
        <v>6.0</v>
      </c>
      <c r="H5" s="7">
        <v>5.0</v>
      </c>
      <c r="I5" s="7">
        <v>6.0</v>
      </c>
      <c r="J5" s="8">
        <v>5.0</v>
      </c>
      <c r="K5" s="8">
        <v>6.0</v>
      </c>
      <c r="L5" s="8">
        <v>5.0</v>
      </c>
      <c r="M5" s="8">
        <v>6.0</v>
      </c>
      <c r="N5" s="8">
        <v>5.0</v>
      </c>
      <c r="O5" s="8">
        <v>5.0</v>
      </c>
      <c r="P5" s="8">
        <v>5.0</v>
      </c>
      <c r="Q5" s="9">
        <v>5.0</v>
      </c>
      <c r="R5" s="9">
        <v>5.0</v>
      </c>
      <c r="S5" s="9">
        <v>5.0</v>
      </c>
      <c r="T5" s="9">
        <v>6.0</v>
      </c>
    </row>
    <row r="6">
      <c r="A6" s="6" t="s">
        <v>22</v>
      </c>
      <c r="B6" s="7">
        <v>5.0</v>
      </c>
      <c r="C6" s="7">
        <v>6.0</v>
      </c>
      <c r="D6" s="7">
        <v>7.0</v>
      </c>
      <c r="E6" s="7">
        <v>5.0</v>
      </c>
      <c r="F6" s="7">
        <v>5.0</v>
      </c>
      <c r="G6" s="7">
        <v>6.0</v>
      </c>
      <c r="H6" s="7">
        <v>5.0</v>
      </c>
      <c r="I6" s="7">
        <v>7.0</v>
      </c>
      <c r="J6" s="8">
        <v>5.0</v>
      </c>
      <c r="K6" s="8">
        <v>3.0</v>
      </c>
      <c r="L6" s="8">
        <v>6.0</v>
      </c>
      <c r="M6" s="8">
        <v>6.0</v>
      </c>
      <c r="N6" s="8">
        <v>5.0</v>
      </c>
      <c r="O6" s="8">
        <v>5.0</v>
      </c>
      <c r="P6" s="8">
        <v>5.0</v>
      </c>
      <c r="Q6" s="9">
        <v>5.0</v>
      </c>
      <c r="R6" s="9">
        <v>6.0</v>
      </c>
      <c r="S6" s="9">
        <v>5.0</v>
      </c>
      <c r="T6" s="9">
        <v>6.0</v>
      </c>
    </row>
    <row r="7">
      <c r="A7" s="6" t="s">
        <v>23</v>
      </c>
      <c r="B7" s="3">
        <f t="shared" ref="B7:T7" si="1">AVERAGE(B4:B6)</f>
        <v>5.666666667</v>
      </c>
      <c r="C7" s="3">
        <f t="shared" si="1"/>
        <v>5.333333333</v>
      </c>
      <c r="D7" s="3">
        <f t="shared" si="1"/>
        <v>7</v>
      </c>
      <c r="E7" s="3">
        <f t="shared" si="1"/>
        <v>5.333333333</v>
      </c>
      <c r="F7" s="3">
        <f t="shared" si="1"/>
        <v>5.333333333</v>
      </c>
      <c r="G7" s="3">
        <f t="shared" si="1"/>
        <v>5.666666667</v>
      </c>
      <c r="H7" s="3">
        <f t="shared" si="1"/>
        <v>5.333333333</v>
      </c>
      <c r="I7" s="3">
        <f t="shared" si="1"/>
        <v>5.666666667</v>
      </c>
      <c r="J7" s="4">
        <f t="shared" si="1"/>
        <v>5.666666667</v>
      </c>
      <c r="K7" s="4">
        <f t="shared" si="1"/>
        <v>4.666666667</v>
      </c>
      <c r="L7" s="4">
        <f t="shared" si="1"/>
        <v>5.333333333</v>
      </c>
      <c r="M7" s="4">
        <f t="shared" si="1"/>
        <v>6.333333333</v>
      </c>
      <c r="N7" s="4">
        <f t="shared" si="1"/>
        <v>5.333333333</v>
      </c>
      <c r="O7" s="4">
        <f t="shared" si="1"/>
        <v>5.666666667</v>
      </c>
      <c r="P7" s="4">
        <f t="shared" si="1"/>
        <v>5.333333333</v>
      </c>
      <c r="Q7" s="5">
        <f t="shared" si="1"/>
        <v>5</v>
      </c>
      <c r="R7" s="5">
        <f t="shared" si="1"/>
        <v>5</v>
      </c>
      <c r="S7" s="5">
        <f t="shared" si="1"/>
        <v>5.333333333</v>
      </c>
      <c r="T7" s="5">
        <f t="shared" si="1"/>
        <v>6</v>
      </c>
    </row>
    <row r="8">
      <c r="A8" s="6" t="s">
        <v>24</v>
      </c>
      <c r="B8" s="3">
        <f t="shared" ref="B8:T8" si="2">_xlfn.STDEV.P(B4:B6)
</f>
        <v>0.4714045208</v>
      </c>
      <c r="C8" s="3">
        <f t="shared" si="2"/>
        <v>0.4714045208</v>
      </c>
      <c r="D8" s="10">
        <f t="shared" si="2"/>
        <v>0</v>
      </c>
      <c r="E8" s="3">
        <f t="shared" si="2"/>
        <v>0.4714045208</v>
      </c>
      <c r="F8" s="3">
        <f t="shared" si="2"/>
        <v>0.4714045208</v>
      </c>
      <c r="G8" s="3">
        <f t="shared" si="2"/>
        <v>0.4714045208</v>
      </c>
      <c r="H8" s="3">
        <f t="shared" si="2"/>
        <v>0.4714045208</v>
      </c>
      <c r="I8" s="3">
        <f t="shared" si="2"/>
        <v>1.247219129</v>
      </c>
      <c r="J8" s="4">
        <f t="shared" si="2"/>
        <v>0.9428090416</v>
      </c>
      <c r="K8" s="4">
        <f t="shared" si="2"/>
        <v>1.247219129</v>
      </c>
      <c r="L8" s="4">
        <f t="shared" si="2"/>
        <v>0.4714045208</v>
      </c>
      <c r="M8" s="4">
        <f t="shared" si="2"/>
        <v>0.4714045208</v>
      </c>
      <c r="N8" s="4">
        <f t="shared" si="2"/>
        <v>0.4714045208</v>
      </c>
      <c r="O8" s="4">
        <f t="shared" si="2"/>
        <v>0.9428090416</v>
      </c>
      <c r="P8" s="4">
        <f t="shared" si="2"/>
        <v>0.4714045208</v>
      </c>
      <c r="Q8" s="5">
        <f t="shared" si="2"/>
        <v>0</v>
      </c>
      <c r="R8" s="5">
        <f t="shared" si="2"/>
        <v>0.8164965809</v>
      </c>
      <c r="S8" s="5">
        <f t="shared" si="2"/>
        <v>0.4714045208</v>
      </c>
      <c r="T8" s="5">
        <f t="shared" si="2"/>
        <v>0</v>
      </c>
    </row>
    <row r="11">
      <c r="A11" s="2"/>
      <c r="B11" s="6" t="s">
        <v>25</v>
      </c>
      <c r="C11" s="6" t="s">
        <v>26</v>
      </c>
      <c r="D11" s="6" t="s">
        <v>27</v>
      </c>
      <c r="E11" s="6" t="s">
        <v>28</v>
      </c>
    </row>
    <row r="12">
      <c r="A12" s="6" t="s">
        <v>29</v>
      </c>
      <c r="B12" s="11">
        <f>AVERAGE(B7:I7)+_xlfn.STDEV.P(B7:I7)</f>
        <v>6.193712943</v>
      </c>
      <c r="C12" s="11">
        <f>AVERAGE(J7:P7)+_xlfn.STDEV.P(J7:P7)</f>
        <v>5.942759951</v>
      </c>
      <c r="D12" s="11">
        <f>AVERAGE(Q7:S7)+_xlfn.STDEV.P(Q7:S7)</f>
        <v>5.268245951</v>
      </c>
      <c r="E12" s="11">
        <f>T7+_xlfn.STDEV.P(T4:T6)</f>
        <v>6</v>
      </c>
    </row>
    <row r="13">
      <c r="A13" s="6" t="s">
        <v>30</v>
      </c>
      <c r="B13" s="11">
        <f>AVERAGE(B7:I7)-_xlfn.STDEV.P(B7:I7)</f>
        <v>5.13962039</v>
      </c>
      <c r="C13" s="11">
        <f>AVERAGE(J7:P7)-_xlfn.STDEV.P(J7:P7)</f>
        <v>5.009621001</v>
      </c>
      <c r="D13" s="11">
        <f>AVERAGE(Q7:S7)-_xlfn.STDEV.P(Q7:S7)</f>
        <v>4.953976271</v>
      </c>
      <c r="E13" s="11">
        <f>T7-_xlfn.STDEV.P(T4:T6)</f>
        <v>6</v>
      </c>
    </row>
    <row r="14">
      <c r="A14" s="12"/>
      <c r="B14" s="11"/>
      <c r="C14" s="11"/>
      <c r="D14" s="11"/>
      <c r="E14" s="11"/>
    </row>
    <row r="16">
      <c r="A16" s="1"/>
    </row>
    <row r="17">
      <c r="A17" s="13" t="s">
        <v>31</v>
      </c>
      <c r="B17" s="14"/>
      <c r="C17" s="14"/>
      <c r="D17" s="14"/>
      <c r="E17" s="14"/>
    </row>
    <row r="18">
      <c r="A18" s="15" t="s">
        <v>32</v>
      </c>
    </row>
    <row r="19">
      <c r="A19" s="15" t="s">
        <v>33</v>
      </c>
      <c r="C19" s="14"/>
      <c r="D19" s="14"/>
      <c r="E19" s="14"/>
    </row>
    <row r="20">
      <c r="A20" s="15" t="s">
        <v>34</v>
      </c>
      <c r="C20" s="14"/>
      <c r="D20" s="14"/>
      <c r="E20" s="14"/>
    </row>
    <row r="23">
      <c r="A23" s="16" t="s">
        <v>35</v>
      </c>
      <c r="B23" s="16" t="s">
        <v>36</v>
      </c>
      <c r="C23" s="16" t="s">
        <v>37</v>
      </c>
      <c r="D23" s="16" t="s">
        <v>38</v>
      </c>
      <c r="E23" s="16" t="s">
        <v>23</v>
      </c>
    </row>
    <row r="24">
      <c r="A24" s="17">
        <v>1.0</v>
      </c>
      <c r="B24" s="17" t="s">
        <v>39</v>
      </c>
      <c r="C24" s="17">
        <v>6.193712943</v>
      </c>
      <c r="D24" s="17">
        <v>5.13982039</v>
      </c>
      <c r="E24" s="17">
        <v>5.666666667</v>
      </c>
    </row>
    <row r="25">
      <c r="A25" s="17">
        <v>2.0</v>
      </c>
      <c r="B25" s="17" t="s">
        <v>40</v>
      </c>
      <c r="C25" s="17">
        <v>5.942759951</v>
      </c>
      <c r="D25" s="17">
        <v>5.009821001</v>
      </c>
      <c r="E25" s="17">
        <v>5.476190476</v>
      </c>
    </row>
    <row r="26">
      <c r="A26" s="17">
        <v>3.0</v>
      </c>
      <c r="B26" s="17" t="s">
        <v>41</v>
      </c>
      <c r="C26" s="17">
        <v>5.268245951</v>
      </c>
      <c r="D26" s="17">
        <v>4.953976271</v>
      </c>
      <c r="E26" s="17">
        <v>5.111111111</v>
      </c>
    </row>
    <row r="27">
      <c r="A27" s="17">
        <v>4.0</v>
      </c>
      <c r="B27" s="17" t="s">
        <v>28</v>
      </c>
      <c r="C27" s="17">
        <v>6.0</v>
      </c>
      <c r="D27" s="17">
        <v>6.0</v>
      </c>
      <c r="E27" s="17">
        <v>6.0</v>
      </c>
    </row>
  </sheetData>
  <mergeCells count="3">
    <mergeCell ref="A18:E18"/>
    <mergeCell ref="A19:B19"/>
    <mergeCell ref="A20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